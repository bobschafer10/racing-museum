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haf\racing-museum\scripts\third_turn\series_packages\badger_modified_tour\"/>
    </mc:Choice>
  </mc:AlternateContent>
  <xr:revisionPtr revIDLastSave="0" documentId="13_ncr:1_{16452A03-2A3A-4CB2-A718-0837E9672D6F}" xr6:coauthVersionLast="47" xr6:coauthVersionMax="47" xr10:uidLastSave="{00000000-0000-0000-0000-000000000000}"/>
  <bookViews>
    <workbookView xWindow="-98" yWindow="-98" windowWidth="24196" windowHeight="14476" activeTab="5" xr2:uid="{00000000-000D-0000-FFFF-FFFF00000000}"/>
  </bookViews>
  <sheets>
    <sheet name="README" sheetId="1" r:id="rId1"/>
    <sheet name="00_Series_Setup" sheetId="2" r:id="rId2"/>
    <sheet name="01_Season_Setup" sheetId="3" r:id="rId3"/>
    <sheet name="02_Races_Events" sheetId="4" r:id="rId4"/>
    <sheet name="03_Race_Results" sheetId="5" r:id="rId5"/>
    <sheet name="04_Point_Standings" sheetId="6" r:id="rId6"/>
    <sheet name="05_Driver_Review" sheetId="7" r:id="rId7"/>
    <sheet name="06_Track_Review" sheetId="8" r:id="rId8"/>
    <sheet name="07_Event_ID_Map" sheetId="9" r:id="rId9"/>
    <sheet name="08_Import_Checks" sheetId="10" r:id="rId10"/>
    <sheet name="99_Reference_Drivers" sheetId="11" r:id="rId11"/>
    <sheet name="99_Reference_Tracks" sheetId="12" r:id="rId12"/>
  </sheets>
  <definedNames>
    <definedName name="_xlnm._FilterDatabase" localSheetId="1" hidden="1">'00_Series_Setup'!$A$2:$H$2</definedName>
    <definedName name="_xlnm._FilterDatabase" localSheetId="2" hidden="1">'01_Season_Setup'!$A$2:$J$2</definedName>
    <definedName name="_xlnm._FilterDatabase" localSheetId="3" hidden="1">'02_Races_Events'!$A$2:$O$2</definedName>
    <definedName name="_xlnm._FilterDatabase" localSheetId="4" hidden="1">'03_Race_Results'!$A$2:$R$2</definedName>
    <definedName name="_xlnm._FilterDatabase" localSheetId="5" hidden="1">'04_Point_Standings'!$A$2:$Q$2</definedName>
    <definedName name="_xlnm._FilterDatabase" localSheetId="6" hidden="1">'05_Driver_Review'!$A$2:$H$2</definedName>
    <definedName name="_xlnm._FilterDatabase" localSheetId="7" hidden="1">'06_Track_Review'!$A$2:$G$2</definedName>
    <definedName name="_xlnm._FilterDatabase" localSheetId="8" hidden="1">'07_Event_ID_Map'!$A$2:$I$2</definedName>
    <definedName name="_xlnm._FilterDatabase" localSheetId="9" hidden="1">'08_Import_Checks'!$A$2:$E$2</definedName>
    <definedName name="_xlnm._FilterDatabase" localSheetId="10" hidden="1">'99_Reference_Drivers'!$A$2:$E$2</definedName>
    <definedName name="_xlnm._FilterDatabase" localSheetId="11" hidden="1">'99_Reference_Tracks'!$A$2:$G$2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Existing Supabase Series.id. Example: 65.</t>
        </r>
      </text>
    </comment>
    <comment ref="C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Museum URL slug, e.g. badger-stock-car-tour.</t>
        </r>
      </text>
    </comment>
    <comment ref="E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Example: CC BY-NC-SA 4.0.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Existing Supabase SeriesSeasons.id after season row is created.</t>
        </r>
      </text>
    </comment>
    <comment ref="F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Fill after driver matching.</t>
        </r>
      </text>
    </comment>
    <comment ref="H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Example: Rod Snellenberger (2).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Fill after inserting SeriesEvents. Use 07_Event_ID_Map if needed.</t>
        </r>
      </text>
    </comment>
    <comment ref="G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Name as shown by The Third Turn/source.</t>
        </r>
      </text>
    </comment>
    <comment ref="I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Museum track slug used to link to track page.</t>
        </r>
      </text>
    </comment>
    <comment ref="L2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Fill after driver matching.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Use Feature, DNQ, Heat, B-Main, etc. For current workflow usually Feature or DNQ.</t>
        </r>
      </text>
    </comment>
    <comment ref="J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Use 1,2,3... for Feature. Leave blank for DNQ.</t>
        </r>
      </text>
    </comment>
    <comment ref="K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Use DNQ for DNQ rows. Leave blank for normal feature rows.</t>
        </r>
      </text>
    </comment>
    <comment ref="L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Name exactly as source file shows it.</t>
        </r>
      </text>
    </comment>
    <comment ref="M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Optional mapping before museum match.</t>
        </r>
      </text>
    </comment>
    <comment ref="O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Required before final import.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H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Required before final import.</t>
        </r>
      </text>
    </comment>
    <comment ref="O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Leave blank/null if not provided or not reliable.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matched_exact, alias_match, possible_match, new_or_unmatched.</t>
        </r>
      </text>
    </comment>
    <comment ref="G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Use use_existing_driver, create_new_driver, manual_fix_needed, ignore.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F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Use use_existing_track, create_new_track, manual_fix_needed, ignore.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Paste returned IDs from Supabase after inserting SeriesEvents.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Optional helper column for matching.</t>
        </r>
      </text>
    </comment>
  </commentList>
</comments>
</file>

<file path=xl/sharedStrings.xml><?xml version="1.0" encoding="utf-8"?>
<sst xmlns="http://schemas.openxmlformats.org/spreadsheetml/2006/main" count="260" uniqueCount="149">
  <si>
    <t>The Third Turn → Museum Series Import Template</t>
  </si>
  <si>
    <t>Purpose</t>
  </si>
  <si>
    <t>Use this workbook to organize The Third Turn series data before creating Supabase imports for the racing museum.</t>
  </si>
  <si>
    <t>Recommended flow</t>
  </si>
  <si>
    <t>1) Fill Series/Season setup. 2) Enter race schedule/events. 3) Enter feature/DNQ results. 4) Enter point standings. 5) Match drivers/tracks. 6) Generate SQL/CSV imports.</t>
  </si>
  <si>
    <t>Key rule</t>
  </si>
  <si>
    <t>The Third Turn/source name can be preserved while driver_id/track_slug link to the museum identity.</t>
  </si>
  <si>
    <t>Small series</t>
  </si>
  <si>
    <t>Excel-first process is fine.</t>
  </si>
  <si>
    <t>Large series</t>
  </si>
  <si>
    <t>Use scraper-first process, then export into this same workbook format for review.</t>
  </si>
  <si>
    <t>Important</t>
  </si>
  <si>
    <t>Do not import until Import_Checks shows expected counts and all required IDs/slugs are filled.</t>
  </si>
  <si>
    <t>00 Series Setup</t>
  </si>
  <si>
    <t>series_id</t>
  </si>
  <si>
    <t>series_name</t>
  </si>
  <si>
    <t>series_slug</t>
  </si>
  <si>
    <t>source_name</t>
  </si>
  <si>
    <t>source_license</t>
  </si>
  <si>
    <t>source_base_url</t>
  </si>
  <si>
    <t>logo_file</t>
  </si>
  <si>
    <t>notes</t>
  </si>
  <si>
    <t>Badger Stock Car Tour</t>
  </si>
  <si>
    <t>badger-stock-car-tour</t>
  </si>
  <si>
    <t>The Third Turn</t>
  </si>
  <si>
    <t>CC BY-NC-SA 4.0</t>
  </si>
  <si>
    <t>https://www.thethirdturn.com/</t>
  </si>
  <si>
    <t>/logos/series/badger-stock-car-tour.jpg</t>
  </si>
  <si>
    <t>Example row only</t>
  </si>
  <si>
    <t>01 Season Setup</t>
  </si>
  <si>
    <t>season_id</t>
  </si>
  <si>
    <t>season_year</t>
  </si>
  <si>
    <t>season_name</t>
  </si>
  <si>
    <t>champion_name</t>
  </si>
  <si>
    <t>champion_driver_id</t>
  </si>
  <si>
    <t>champion_driver_slug</t>
  </si>
  <si>
    <t>most_wins_text</t>
  </si>
  <si>
    <t>source_url</t>
  </si>
  <si>
    <t>2013 Badger Stock Car Tour</t>
  </si>
  <si>
    <t>Rod Snellenberger</t>
  </si>
  <si>
    <t>rod-snellenberger</t>
  </si>
  <si>
    <t>Rod Snellenberger (2)</t>
  </si>
  <si>
    <t>02 Races / Events</t>
  </si>
  <si>
    <t>race_number</t>
  </si>
  <si>
    <t>series_event_id</t>
  </si>
  <si>
    <t>race_date</t>
  </si>
  <si>
    <t>track_name_source</t>
  </si>
  <si>
    <t>track_name_museum</t>
  </si>
  <si>
    <t>track_slug</t>
  </si>
  <si>
    <t>winner_name_source</t>
  </si>
  <si>
    <t>winner_name_museum</t>
  </si>
  <si>
    <t>winner_driver_id</t>
  </si>
  <si>
    <t>winner_driver_slug</t>
  </si>
  <si>
    <t>2013-07-17</t>
  </si>
  <si>
    <t>Seymour Speedway</t>
  </si>
  <si>
    <t>seymour-speedway-wi</t>
  </si>
  <si>
    <t>Scott Stewart</t>
  </si>
  <si>
    <t>scott-stewart</t>
  </si>
  <si>
    <t>Example</t>
  </si>
  <si>
    <t>2013-07-18</t>
  </si>
  <si>
    <t>Door County Speedway</t>
  </si>
  <si>
    <t>door-county-speedway-wi</t>
  </si>
  <si>
    <t>03 Race Results</t>
  </si>
  <si>
    <t>result_section</t>
  </si>
  <si>
    <t>finishing_position</t>
  </si>
  <si>
    <t>status</t>
  </si>
  <si>
    <t>source_driver_name</t>
  </si>
  <si>
    <t>alias_driver_name</t>
  </si>
  <si>
    <t>museum_driver_name</t>
  </si>
  <si>
    <t>driver_id</t>
  </si>
  <si>
    <t>driver_slug</t>
  </si>
  <si>
    <t>Feature</t>
  </si>
  <si>
    <t>DNQ</t>
  </si>
  <si>
    <t>Example Driver</t>
  </si>
  <si>
    <t>example-driver</t>
  </si>
  <si>
    <t>Example DNQ</t>
  </si>
  <si>
    <t>04 Point Standings</t>
  </si>
  <si>
    <t>points</t>
  </si>
  <si>
    <t>starts</t>
  </si>
  <si>
    <t>wins</t>
  </si>
  <si>
    <t>top5</t>
  </si>
  <si>
    <t>top10</t>
  </si>
  <si>
    <t>poles</t>
  </si>
  <si>
    <t>Dan Michonski</t>
  </si>
  <si>
    <t>dan-michonski</t>
  </si>
  <si>
    <t>05 Driver Review</t>
  </si>
  <si>
    <t>match_status</t>
  </si>
  <si>
    <t>review_action</t>
  </si>
  <si>
    <t>David Bouche</t>
  </si>
  <si>
    <t>Dave Bouche</t>
  </si>
  <si>
    <t>dave-bouche</t>
  </si>
  <si>
    <t>alias_match</t>
  </si>
  <si>
    <t>use_existing_driver</t>
  </si>
  <si>
    <t>Example alias</t>
  </si>
  <si>
    <t>Justin Jacobson</t>
  </si>
  <si>
    <t>Justin Jacobsen</t>
  </si>
  <si>
    <t>justin-jacobsen</t>
  </si>
  <si>
    <t>Mark Schunemann</t>
  </si>
  <si>
    <t>Mark Schuenemann</t>
  </si>
  <si>
    <t>mark-schuenemann</t>
  </si>
  <si>
    <t>06 Track Review</t>
  </si>
  <si>
    <t>source_track_name</t>
  </si>
  <si>
    <t>museum_track_name</t>
  </si>
  <si>
    <t>track_id</t>
  </si>
  <si>
    <t>Oshkosh Speed Zone</t>
  </si>
  <si>
    <t>oshkosh-speed-zone-wi</t>
  </si>
  <si>
    <t>matched_exact</t>
  </si>
  <si>
    <t>use_existing_track</t>
  </si>
  <si>
    <t>141 Speedway</t>
  </si>
  <si>
    <t>141-speedway-wi</t>
  </si>
  <si>
    <t>07 Event ID Map</t>
  </si>
  <si>
    <t>track_name</t>
  </si>
  <si>
    <t>winner_name</t>
  </si>
  <si>
    <t>08 Import Checks</t>
  </si>
  <si>
    <t>check_name</t>
  </si>
  <si>
    <t>expected_value</t>
  </si>
  <si>
    <t>actual_value</t>
  </si>
  <si>
    <t>Events count</t>
  </si>
  <si>
    <t>Should match number of rows in 02_Races_Events.</t>
  </si>
  <si>
    <t>Feature result rows</t>
  </si>
  <si>
    <t>For Badger Stock Car Tour example: 6 x 24.</t>
  </si>
  <si>
    <t>DNQ rows</t>
  </si>
  <si>
    <t>Count DNQ rows separately.</t>
  </si>
  <si>
    <t>Total result rows</t>
  </si>
  <si>
    <t>Feature + DNQ.</t>
  </si>
  <si>
    <t>Missing driver_id in results</t>
  </si>
  <si>
    <t>Must be 0 before import.</t>
  </si>
  <si>
    <t>Missing driver_id in standings</t>
  </si>
  <si>
    <t>Missing track_slug in events</t>
  </si>
  <si>
    <t>Champion driver_id filled</t>
  </si>
  <si>
    <t>Must be filled before season update.</t>
  </si>
  <si>
    <t>99 Reference Drivers</t>
  </si>
  <si>
    <t>id</t>
  </si>
  <si>
    <t>driver_name</t>
  </si>
  <si>
    <t>slug</t>
  </si>
  <si>
    <t>normalized_name</t>
  </si>
  <si>
    <t>99 Reference Tracks</t>
  </si>
  <si>
    <t>city</t>
  </si>
  <si>
    <t>state</t>
  </si>
  <si>
    <t>normalized_track_name</t>
  </si>
  <si>
    <t>Tyler Smith</t>
  </si>
  <si>
    <t>Dustin Loberger</t>
  </si>
  <si>
    <t>Kyle Frederick</t>
  </si>
  <si>
    <t>tyler-smith</t>
  </si>
  <si>
    <t>Luxemburg Speedway</t>
  </si>
  <si>
    <t>luxemburg-speedway-wi</t>
  </si>
  <si>
    <t>dustin-loberger</t>
  </si>
  <si>
    <t>Kyle Fredrick</t>
  </si>
  <si>
    <t>kyle-fredrick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</si>
</sst>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5F0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2" borderId="0" xfId="0" applyFont="1" applyFill="1"/>
    <xf numFmtId="0" fontId="0" fillId="0" borderId="0" xfId="0"/>
    <xf numFmtId="15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25" x14ac:dyDescent="0.45"/>
  <cols>
    <col min="1" max="1" width="22" customWidth="1"/>
    <col min="2" max="2" width="110" customWidth="1"/>
  </cols>
  <sheetData>
    <row r="1" spans="1:2" ht="21" x14ac:dyDescent="0.65">
      <c r="A1" s="1" t="s">
        <v>0</v>
      </c>
    </row>
    <row r="2" spans="1:2" ht="32" customHeight="1" x14ac:dyDescent="0.45">
      <c r="A2" s="2"/>
      <c r="B2" s="2"/>
    </row>
    <row r="3" spans="1:2" x14ac:dyDescent="0.45">
      <c r="A3" s="3" t="s">
        <v>1</v>
      </c>
      <c r="B3" s="2" t="s">
        <v>2</v>
      </c>
    </row>
    <row r="4" spans="1:2" ht="28.5" x14ac:dyDescent="0.45">
      <c r="A4" s="3" t="s">
        <v>3</v>
      </c>
      <c r="B4" s="2" t="s">
        <v>4</v>
      </c>
    </row>
    <row r="5" spans="1:2" x14ac:dyDescent="0.45">
      <c r="A5" s="3" t="s">
        <v>5</v>
      </c>
      <c r="B5" s="2" t="s">
        <v>6</v>
      </c>
    </row>
    <row r="6" spans="1:2" x14ac:dyDescent="0.45">
      <c r="A6" s="3" t="s">
        <v>7</v>
      </c>
      <c r="B6" s="2" t="s">
        <v>8</v>
      </c>
    </row>
    <row r="7" spans="1:2" x14ac:dyDescent="0.45">
      <c r="A7" s="3" t="s">
        <v>9</v>
      </c>
      <c r="B7" s="2" t="s">
        <v>10</v>
      </c>
    </row>
    <row r="8" spans="1:2" x14ac:dyDescent="0.45">
      <c r="A8" s="3" t="s">
        <v>11</v>
      </c>
      <c r="B8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pane ySplit="1" topLeftCell="A2" activePane="bottomLeft" state="frozen"/>
      <selection pane="bottomLeft" sqref="A1:H1"/>
    </sheetView>
  </sheetViews>
  <sheetFormatPr defaultRowHeight="14.25" x14ac:dyDescent="0.45"/>
  <cols>
    <col min="1" max="1" width="12" customWidth="1"/>
    <col min="2" max="3" width="28" customWidth="1"/>
    <col min="4" max="5" width="22" customWidth="1"/>
    <col min="6" max="6" width="55" customWidth="1"/>
    <col min="7" max="7" width="30" customWidth="1"/>
    <col min="8" max="8" width="50" customWidth="1"/>
  </cols>
  <sheetData>
    <row r="1" spans="1:8" ht="24" customHeight="1" x14ac:dyDescent="0.55000000000000004">
      <c r="A1" s="6" t="s">
        <v>13</v>
      </c>
      <c r="B1" s="7"/>
      <c r="C1" s="7"/>
      <c r="D1" s="7"/>
      <c r="E1" s="7"/>
      <c r="F1" s="7"/>
      <c r="G1" s="7"/>
      <c r="H1" s="7"/>
    </row>
    <row r="2" spans="1:8" ht="32" customHeight="1" x14ac:dyDescent="0.45">
      <c r="A2" s="4" t="s">
        <v>14</v>
      </c>
      <c r="B2" s="4" t="s">
        <v>15</v>
      </c>
      <c r="C2" s="4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</row>
    <row r="3" spans="1:8" ht="28.5" x14ac:dyDescent="0.45">
      <c r="A3" s="2">
        <v>65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</row>
  </sheetData>
  <autoFilter ref="A2:H2" xr:uid="{00000000-0009-0000-0000-000001000000}"/>
  <mergeCells count="1"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pane ySplit="1" topLeftCell="A2" activePane="bottomLeft" state="frozen"/>
      <selection pane="bottomLeft" activeCell="A3" sqref="A3"/>
    </sheetView>
  </sheetViews>
  <sheetFormatPr defaultRowHeight="14.25" x14ac:dyDescent="0.45"/>
  <cols>
    <col min="1" max="3" width="12" customWidth="1"/>
    <col min="4" max="4" width="30" customWidth="1"/>
    <col min="5" max="5" width="25" customWidth="1"/>
    <col min="6" max="6" width="18" customWidth="1"/>
    <col min="7" max="7" width="25" customWidth="1"/>
    <col min="8" max="8" width="30" customWidth="1"/>
    <col min="9" max="9" width="55" customWidth="1"/>
    <col min="10" max="10" width="45" customWidth="1"/>
  </cols>
  <sheetData>
    <row r="1" spans="1:10" ht="24" customHeight="1" x14ac:dyDescent="0.55000000000000004">
      <c r="A1" s="6" t="s">
        <v>29</v>
      </c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 x14ac:dyDescent="0.45">
      <c r="A2" s="4" t="s">
        <v>14</v>
      </c>
      <c r="B2" s="4" t="s">
        <v>30</v>
      </c>
      <c r="C2" s="4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21</v>
      </c>
    </row>
    <row r="3" spans="1:10" x14ac:dyDescent="0.45">
      <c r="A3" s="2">
        <v>65</v>
      </c>
      <c r="B3" s="2">
        <v>56</v>
      </c>
      <c r="C3" s="2">
        <v>2013</v>
      </c>
      <c r="D3" s="2" t="s">
        <v>38</v>
      </c>
      <c r="E3" s="2" t="s">
        <v>39</v>
      </c>
      <c r="F3" s="2">
        <v>43691</v>
      </c>
      <c r="G3" s="2" t="s">
        <v>40</v>
      </c>
      <c r="H3" s="2" t="s">
        <v>41</v>
      </c>
      <c r="I3" s="2"/>
      <c r="J3" s="2"/>
    </row>
  </sheetData>
  <autoFilter ref="A2:J2" xr:uid="{00000000-0009-0000-0000-000002000000}"/>
  <mergeCells count="1">
    <mergeCell ref="A1:J1"/>
  </mergeCell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"/>
  <sheetViews>
    <sheetView topLeftCell="D1" workbookViewId="0">
      <pane ySplit="1" topLeftCell="A2" activePane="bottomLeft" state="frozen"/>
      <selection pane="bottomLeft" activeCell="L4" sqref="L4"/>
    </sheetView>
  </sheetViews>
  <sheetFormatPr defaultRowHeight="14.25" x14ac:dyDescent="0.45"/>
  <cols>
    <col min="1" max="4" width="12" customWidth="1"/>
    <col min="5" max="5" width="15" customWidth="1"/>
    <col min="6" max="6" width="14" customWidth="1"/>
    <col min="7" max="11" width="25" customWidth="1"/>
    <col min="12" max="12" width="16" customWidth="1"/>
    <col min="13" max="13" width="25" customWidth="1"/>
    <col min="14" max="14" width="55" customWidth="1"/>
    <col min="15" max="15" width="45" customWidth="1"/>
  </cols>
  <sheetData>
    <row r="1" spans="1:15" ht="24" customHeight="1" x14ac:dyDescent="0.55000000000000004">
      <c r="A1" s="6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2" customHeight="1" x14ac:dyDescent="0.45">
      <c r="A2" s="4" t="s">
        <v>14</v>
      </c>
      <c r="B2" s="4" t="s">
        <v>30</v>
      </c>
      <c r="C2" s="4" t="s">
        <v>31</v>
      </c>
      <c r="D2" s="4" t="s">
        <v>43</v>
      </c>
      <c r="E2" s="5" t="s">
        <v>44</v>
      </c>
      <c r="F2" s="4" t="s">
        <v>45</v>
      </c>
      <c r="G2" s="4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37</v>
      </c>
      <c r="O2" s="5" t="s">
        <v>21</v>
      </c>
    </row>
    <row r="3" spans="1:15" x14ac:dyDescent="0.45">
      <c r="A3" s="2">
        <v>65</v>
      </c>
      <c r="B3" s="2">
        <v>56</v>
      </c>
      <c r="C3" s="2">
        <v>2013</v>
      </c>
      <c r="D3" s="2">
        <v>1</v>
      </c>
      <c r="E3" s="2">
        <v>348</v>
      </c>
      <c r="F3" s="2" t="s">
        <v>53</v>
      </c>
      <c r="G3" s="2" t="s">
        <v>54</v>
      </c>
      <c r="H3" s="2" t="s">
        <v>54</v>
      </c>
      <c r="I3" s="2" t="s">
        <v>55</v>
      </c>
      <c r="J3" s="2" t="s">
        <v>56</v>
      </c>
      <c r="K3" s="2" t="s">
        <v>56</v>
      </c>
      <c r="L3" s="2"/>
      <c r="M3" s="2" t="s">
        <v>57</v>
      </c>
      <c r="N3" s="2"/>
      <c r="O3" s="2"/>
    </row>
    <row r="4" spans="1:15" x14ac:dyDescent="0.45">
      <c r="A4" s="2">
        <v>65</v>
      </c>
      <c r="B4" s="2">
        <v>56</v>
      </c>
      <c r="C4" s="2">
        <v>2013</v>
      </c>
      <c r="D4" s="2">
        <v>2</v>
      </c>
      <c r="E4" s="2">
        <v>349</v>
      </c>
      <c r="F4" s="2" t="s">
        <v>59</v>
      </c>
      <c r="G4" s="2" t="s">
        <v>60</v>
      </c>
      <c r="H4" s="2" t="s">
        <v>60</v>
      </c>
      <c r="I4" s="2" t="s">
        <v>61</v>
      </c>
      <c r="J4" s="2" t="s">
        <v>39</v>
      </c>
      <c r="K4" s="2" t="s">
        <v>39</v>
      </c>
      <c r="L4" s="2"/>
      <c r="M4" s="2" t="s">
        <v>40</v>
      </c>
      <c r="N4" s="2"/>
      <c r="O4" s="2"/>
    </row>
    <row r="5" spans="1:15" x14ac:dyDescent="0.45">
      <c r="D5">
        <v>3</v>
      </c>
      <c r="E5">
        <v>350</v>
      </c>
      <c r="F5" s="9">
        <v>41474</v>
      </c>
      <c r="G5" s="2" t="s">
        <v>104</v>
      </c>
      <c r="H5" s="2" t="s">
        <v>104</v>
      </c>
      <c r="I5" s="2" t="s">
        <v>105</v>
      </c>
      <c r="J5" s="2" t="s">
        <v>39</v>
      </c>
      <c r="K5" s="2" t="s">
        <v>39</v>
      </c>
      <c r="L5" s="2"/>
      <c r="M5" s="2" t="s">
        <v>40</v>
      </c>
      <c r="N5" s="2"/>
      <c r="O5" s="2"/>
    </row>
    <row r="6" spans="1:15" x14ac:dyDescent="0.45">
      <c r="D6">
        <v>4</v>
      </c>
      <c r="E6">
        <v>351</v>
      </c>
      <c r="F6" s="8">
        <v>41479</v>
      </c>
      <c r="G6" s="10" t="s">
        <v>108</v>
      </c>
      <c r="H6" s="10" t="s">
        <v>108</v>
      </c>
      <c r="I6" s="10" t="s">
        <v>109</v>
      </c>
      <c r="J6" s="10" t="s">
        <v>140</v>
      </c>
      <c r="K6" s="10" t="s">
        <v>140</v>
      </c>
      <c r="M6" s="10" t="s">
        <v>143</v>
      </c>
    </row>
    <row r="7" spans="1:15" x14ac:dyDescent="0.45">
      <c r="D7">
        <v>5</v>
      </c>
      <c r="E7">
        <v>352</v>
      </c>
      <c r="F7" s="8">
        <v>41531</v>
      </c>
      <c r="G7" t="s">
        <v>144</v>
      </c>
      <c r="H7" t="s">
        <v>144</v>
      </c>
      <c r="I7" t="s">
        <v>145</v>
      </c>
      <c r="J7" t="s">
        <v>141</v>
      </c>
      <c r="K7" s="10" t="s">
        <v>141</v>
      </c>
      <c r="M7" s="10" t="s">
        <v>146</v>
      </c>
    </row>
    <row r="8" spans="1:15" x14ac:dyDescent="0.45">
      <c r="D8">
        <v>6</v>
      </c>
      <c r="E8">
        <v>353</v>
      </c>
      <c r="F8" s="8">
        <v>41553</v>
      </c>
      <c r="G8" t="s">
        <v>108</v>
      </c>
      <c r="H8" t="s">
        <v>108</v>
      </c>
      <c r="I8" t="s">
        <v>109</v>
      </c>
      <c r="J8" t="s">
        <v>142</v>
      </c>
      <c r="K8" s="10" t="s">
        <v>147</v>
      </c>
      <c r="M8" s="10" t="s">
        <v>148</v>
      </c>
    </row>
    <row r="9" spans="1:15" x14ac:dyDescent="0.45">
      <c r="D9">
        <v>5</v>
      </c>
      <c r="F9" s="8"/>
    </row>
    <row r="10" spans="1:15" x14ac:dyDescent="0.45">
      <c r="D10">
        <v>6</v>
      </c>
      <c r="F10" s="8"/>
    </row>
  </sheetData>
  <autoFilter ref="A2:O2" xr:uid="{00000000-0009-0000-0000-000003000000}"/>
  <mergeCells count="1">
    <mergeCell ref="A1:O1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"/>
  <sheetViews>
    <sheetView workbookViewId="0">
      <pane ySplit="1" topLeftCell="A2" activePane="bottomLeft" state="frozen"/>
      <selection pane="bottomLeft" sqref="A1:R1"/>
    </sheetView>
  </sheetViews>
  <sheetFormatPr defaultRowHeight="14.25" x14ac:dyDescent="0.45"/>
  <cols>
    <col min="1" max="4" width="12" customWidth="1"/>
    <col min="5" max="5" width="15" customWidth="1"/>
    <col min="6" max="6" width="14" customWidth="1"/>
    <col min="7" max="8" width="25" customWidth="1"/>
    <col min="9" max="9" width="16" customWidth="1"/>
    <col min="10" max="10" width="18" customWidth="1"/>
    <col min="11" max="11" width="12" customWidth="1"/>
    <col min="12" max="14" width="25" customWidth="1"/>
    <col min="15" max="15" width="14" customWidth="1"/>
    <col min="16" max="16" width="25" customWidth="1"/>
    <col min="17" max="17" width="55" customWidth="1"/>
    <col min="18" max="18" width="45" customWidth="1"/>
  </cols>
  <sheetData>
    <row r="1" spans="1:18" ht="24" customHeight="1" x14ac:dyDescent="0.55000000000000004">
      <c r="A1" s="6" t="s">
        <v>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45">
      <c r="A2" s="4" t="s">
        <v>14</v>
      </c>
      <c r="B2" s="4" t="s">
        <v>30</v>
      </c>
      <c r="C2" s="4" t="s">
        <v>31</v>
      </c>
      <c r="D2" s="4" t="s">
        <v>43</v>
      </c>
      <c r="E2" s="4" t="s">
        <v>44</v>
      </c>
      <c r="F2" s="5" t="s">
        <v>45</v>
      </c>
      <c r="G2" s="5" t="s">
        <v>46</v>
      </c>
      <c r="H2" s="5" t="s">
        <v>48</v>
      </c>
      <c r="I2" s="4" t="s">
        <v>63</v>
      </c>
      <c r="J2" s="5" t="s">
        <v>64</v>
      </c>
      <c r="K2" s="5" t="s">
        <v>65</v>
      </c>
      <c r="L2" s="4" t="s">
        <v>66</v>
      </c>
      <c r="M2" s="5" t="s">
        <v>67</v>
      </c>
      <c r="N2" s="5" t="s">
        <v>68</v>
      </c>
      <c r="O2" s="5" t="s">
        <v>69</v>
      </c>
      <c r="P2" s="5" t="s">
        <v>70</v>
      </c>
      <c r="Q2" s="5" t="s">
        <v>37</v>
      </c>
      <c r="R2" s="5" t="s">
        <v>21</v>
      </c>
    </row>
    <row r="3" spans="1:18" x14ac:dyDescent="0.45">
      <c r="A3" s="2">
        <v>65</v>
      </c>
      <c r="B3" s="2">
        <v>56</v>
      </c>
      <c r="C3" s="2">
        <v>2013</v>
      </c>
      <c r="D3" s="2">
        <v>1</v>
      </c>
      <c r="E3" s="2">
        <v>348</v>
      </c>
      <c r="F3" s="2" t="s">
        <v>53</v>
      </c>
      <c r="G3" s="2" t="s">
        <v>54</v>
      </c>
      <c r="H3" s="2" t="s">
        <v>55</v>
      </c>
      <c r="I3" s="2" t="s">
        <v>71</v>
      </c>
      <c r="J3" s="2">
        <v>1</v>
      </c>
      <c r="K3" s="2"/>
      <c r="L3" s="2" t="s">
        <v>56</v>
      </c>
      <c r="M3" s="2"/>
      <c r="N3" s="2" t="s">
        <v>56</v>
      </c>
      <c r="O3" s="2"/>
      <c r="P3" s="2" t="s">
        <v>57</v>
      </c>
      <c r="Q3" s="2"/>
      <c r="R3" s="2" t="s">
        <v>58</v>
      </c>
    </row>
    <row r="4" spans="1:18" x14ac:dyDescent="0.45">
      <c r="A4" s="2">
        <v>65</v>
      </c>
      <c r="B4" s="2">
        <v>56</v>
      </c>
      <c r="C4" s="2">
        <v>2013</v>
      </c>
      <c r="D4" s="2">
        <v>1</v>
      </c>
      <c r="E4" s="2">
        <v>348</v>
      </c>
      <c r="F4" s="2" t="s">
        <v>53</v>
      </c>
      <c r="G4" s="2" t="s">
        <v>54</v>
      </c>
      <c r="H4" s="2" t="s">
        <v>55</v>
      </c>
      <c r="I4" s="2" t="s">
        <v>72</v>
      </c>
      <c r="J4" s="2"/>
      <c r="K4" s="2" t="s">
        <v>72</v>
      </c>
      <c r="L4" s="2" t="s">
        <v>73</v>
      </c>
      <c r="M4" s="2"/>
      <c r="N4" s="2" t="s">
        <v>73</v>
      </c>
      <c r="O4" s="2"/>
      <c r="P4" s="2" t="s">
        <v>74</v>
      </c>
      <c r="Q4" s="2"/>
      <c r="R4" s="2" t="s">
        <v>75</v>
      </c>
    </row>
  </sheetData>
  <autoFilter ref="A2:R2" xr:uid="{00000000-0009-0000-0000-000004000000}"/>
  <mergeCells count="1">
    <mergeCell ref="A1:R1"/>
  </mergeCells>
  <dataValidations count="2">
    <dataValidation type="list" allowBlank="1" sqref="I3:I10000" xr:uid="{00000000-0002-0000-0400-000000000000}">
      <formula1>"Feature,DNQ,Heat,B-Main,A-Main,Other"</formula1>
    </dataValidation>
    <dataValidation type="list" allowBlank="1" sqref="K3:K10000" xr:uid="{00000000-0002-0000-0400-000001000000}">
      <formula1>"DNQ,DSQ,DNS,DNF"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"/>
  <sheetViews>
    <sheetView tabSelected="1" workbookViewId="0">
      <pane ySplit="1" topLeftCell="A2" activePane="bottomLeft" state="frozen"/>
      <selection pane="bottomLeft" sqref="A1:Q1"/>
    </sheetView>
  </sheetViews>
  <sheetFormatPr defaultRowHeight="14.25" x14ac:dyDescent="0.45"/>
  <cols>
    <col min="1" max="3" width="12" customWidth="1"/>
    <col min="4" max="4" width="18" customWidth="1"/>
    <col min="5" max="7" width="25" customWidth="1"/>
    <col min="8" max="8" width="14" customWidth="1"/>
    <col min="9" max="9" width="25" customWidth="1"/>
    <col min="10" max="15" width="12" customWidth="1"/>
    <col min="16" max="16" width="55" customWidth="1"/>
    <col min="17" max="17" width="45" customWidth="1"/>
  </cols>
  <sheetData>
    <row r="1" spans="1:17" ht="24" customHeight="1" x14ac:dyDescent="0.55000000000000004">
      <c r="A1" s="6" t="s">
        <v>76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32" customHeight="1" x14ac:dyDescent="0.45">
      <c r="A2" s="4" t="s">
        <v>14</v>
      </c>
      <c r="B2" s="4" t="s">
        <v>30</v>
      </c>
      <c r="C2" s="4" t="s">
        <v>31</v>
      </c>
      <c r="D2" s="4" t="s">
        <v>64</v>
      </c>
      <c r="E2" s="4" t="s">
        <v>66</v>
      </c>
      <c r="F2" s="5" t="s">
        <v>67</v>
      </c>
      <c r="G2" s="5" t="s">
        <v>68</v>
      </c>
      <c r="H2" s="5" t="s">
        <v>69</v>
      </c>
      <c r="I2" s="5" t="s">
        <v>70</v>
      </c>
      <c r="J2" s="4" t="s">
        <v>77</v>
      </c>
      <c r="K2" s="5" t="s">
        <v>78</v>
      </c>
      <c r="L2" s="5" t="s">
        <v>79</v>
      </c>
      <c r="M2" s="5" t="s">
        <v>80</v>
      </c>
      <c r="N2" s="5" t="s">
        <v>81</v>
      </c>
      <c r="O2" s="5" t="s">
        <v>82</v>
      </c>
      <c r="P2" s="5" t="s">
        <v>37</v>
      </c>
      <c r="Q2" s="5" t="s">
        <v>21</v>
      </c>
    </row>
    <row r="3" spans="1:17" x14ac:dyDescent="0.45">
      <c r="A3" s="2">
        <v>65</v>
      </c>
      <c r="B3" s="2">
        <v>56</v>
      </c>
      <c r="C3" s="2">
        <v>2013</v>
      </c>
      <c r="D3" s="2">
        <v>1</v>
      </c>
      <c r="E3" s="2" t="s">
        <v>39</v>
      </c>
      <c r="F3" s="2"/>
      <c r="G3" s="2" t="s">
        <v>39</v>
      </c>
      <c r="H3" s="2"/>
      <c r="I3" s="2" t="s">
        <v>40</v>
      </c>
      <c r="J3" s="2">
        <v>510</v>
      </c>
      <c r="K3" s="2">
        <v>6</v>
      </c>
      <c r="L3" s="2">
        <v>2</v>
      </c>
      <c r="M3" s="2">
        <v>4</v>
      </c>
      <c r="N3" s="2">
        <v>4</v>
      </c>
      <c r="O3" s="2"/>
      <c r="P3" s="2"/>
      <c r="Q3" s="2" t="s">
        <v>58</v>
      </c>
    </row>
    <row r="4" spans="1:17" x14ac:dyDescent="0.45">
      <c r="A4" s="2">
        <v>65</v>
      </c>
      <c r="B4" s="2">
        <v>56</v>
      </c>
      <c r="C4" s="2">
        <v>2013</v>
      </c>
      <c r="D4" s="2">
        <v>2</v>
      </c>
      <c r="E4" s="2" t="s">
        <v>83</v>
      </c>
      <c r="F4" s="2"/>
      <c r="G4" s="2" t="s">
        <v>83</v>
      </c>
      <c r="H4" s="2"/>
      <c r="I4" s="2" t="s">
        <v>84</v>
      </c>
      <c r="J4" s="2">
        <v>480</v>
      </c>
      <c r="K4" s="2">
        <v>6</v>
      </c>
      <c r="L4" s="2">
        <v>0</v>
      </c>
      <c r="M4" s="2">
        <v>1</v>
      </c>
      <c r="N4" s="2">
        <v>5</v>
      </c>
      <c r="O4" s="2"/>
      <c r="P4" s="2"/>
      <c r="Q4" s="2" t="s">
        <v>58</v>
      </c>
    </row>
  </sheetData>
  <autoFilter ref="A2:Q2" xr:uid="{00000000-0009-0000-0000-000005000000}"/>
  <mergeCells count="1">
    <mergeCell ref="A1:Q1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3" width="28" customWidth="1"/>
    <col min="4" max="4" width="14" customWidth="1"/>
    <col min="5" max="5" width="28" customWidth="1"/>
    <col min="6" max="6" width="22" customWidth="1"/>
    <col min="7" max="7" width="24" customWidth="1"/>
    <col min="8" max="8" width="55" customWidth="1"/>
  </cols>
  <sheetData>
    <row r="1" spans="1:8" ht="24" customHeight="1" x14ac:dyDescent="0.55000000000000004">
      <c r="A1" s="6" t="s">
        <v>85</v>
      </c>
      <c r="B1" s="7"/>
      <c r="C1" s="7"/>
      <c r="D1" s="7"/>
      <c r="E1" s="7"/>
      <c r="F1" s="7"/>
      <c r="G1" s="7"/>
      <c r="H1" s="7"/>
    </row>
    <row r="2" spans="1:8" ht="32" customHeight="1" x14ac:dyDescent="0.45">
      <c r="A2" s="4" t="s">
        <v>66</v>
      </c>
      <c r="B2" s="5" t="s">
        <v>67</v>
      </c>
      <c r="C2" s="5" t="s">
        <v>68</v>
      </c>
      <c r="D2" s="5" t="s">
        <v>69</v>
      </c>
      <c r="E2" s="5" t="s">
        <v>70</v>
      </c>
      <c r="F2" s="5" t="s">
        <v>86</v>
      </c>
      <c r="G2" s="4" t="s">
        <v>87</v>
      </c>
      <c r="H2" s="5" t="s">
        <v>21</v>
      </c>
    </row>
    <row r="3" spans="1:8" x14ac:dyDescent="0.45">
      <c r="A3" s="2" t="s">
        <v>88</v>
      </c>
      <c r="B3" s="2" t="s">
        <v>89</v>
      </c>
      <c r="C3" s="2" t="s">
        <v>89</v>
      </c>
      <c r="D3" s="2"/>
      <c r="E3" s="2" t="s">
        <v>90</v>
      </c>
      <c r="F3" s="2" t="s">
        <v>91</v>
      </c>
      <c r="G3" s="2" t="s">
        <v>92</v>
      </c>
      <c r="H3" s="2" t="s">
        <v>93</v>
      </c>
    </row>
    <row r="4" spans="1:8" x14ac:dyDescent="0.45">
      <c r="A4" s="2" t="s">
        <v>94</v>
      </c>
      <c r="B4" s="2" t="s">
        <v>95</v>
      </c>
      <c r="C4" s="2" t="s">
        <v>95</v>
      </c>
      <c r="D4" s="2"/>
      <c r="E4" s="2" t="s">
        <v>96</v>
      </c>
      <c r="F4" s="2" t="s">
        <v>91</v>
      </c>
      <c r="G4" s="2" t="s">
        <v>92</v>
      </c>
      <c r="H4" s="2" t="s">
        <v>93</v>
      </c>
    </row>
    <row r="5" spans="1:8" x14ac:dyDescent="0.45">
      <c r="A5" s="2" t="s">
        <v>97</v>
      </c>
      <c r="B5" s="2" t="s">
        <v>98</v>
      </c>
      <c r="C5" s="2" t="s">
        <v>98</v>
      </c>
      <c r="D5" s="2"/>
      <c r="E5" s="2" t="s">
        <v>99</v>
      </c>
      <c r="F5" s="2" t="s">
        <v>91</v>
      </c>
      <c r="G5" s="2" t="s">
        <v>92</v>
      </c>
      <c r="H5" s="2" t="s">
        <v>93</v>
      </c>
    </row>
  </sheetData>
  <autoFilter ref="A2:H2" xr:uid="{00000000-0009-0000-0000-000006000000}"/>
  <mergeCells count="1">
    <mergeCell ref="A1:H1"/>
  </mergeCells>
  <dataValidations count="1">
    <dataValidation type="list" allowBlank="1" sqref="G3:G10000" xr:uid="{00000000-0002-0000-0600-000000000000}">
      <formula1>"use_existing_driver,create_new_driver,manual_fix_needed,ignore"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28" customWidth="1"/>
    <col min="3" max="3" width="14" customWidth="1"/>
    <col min="4" max="4" width="28" customWidth="1"/>
    <col min="5" max="5" width="22" customWidth="1"/>
    <col min="6" max="6" width="24" customWidth="1"/>
    <col min="7" max="7" width="55" customWidth="1"/>
  </cols>
  <sheetData>
    <row r="1" spans="1:7" ht="24" customHeight="1" x14ac:dyDescent="0.55000000000000004">
      <c r="A1" s="6" t="s">
        <v>100</v>
      </c>
      <c r="B1" s="7"/>
      <c r="C1" s="7"/>
      <c r="D1" s="7"/>
      <c r="E1" s="7"/>
      <c r="F1" s="7"/>
      <c r="G1" s="7"/>
    </row>
    <row r="2" spans="1:7" ht="32" customHeight="1" x14ac:dyDescent="0.45">
      <c r="A2" s="4" t="s">
        <v>101</v>
      </c>
      <c r="B2" s="5" t="s">
        <v>102</v>
      </c>
      <c r="C2" s="5" t="s">
        <v>103</v>
      </c>
      <c r="D2" s="5" t="s">
        <v>48</v>
      </c>
      <c r="E2" s="5" t="s">
        <v>86</v>
      </c>
      <c r="F2" s="4" t="s">
        <v>87</v>
      </c>
      <c r="G2" s="5" t="s">
        <v>21</v>
      </c>
    </row>
    <row r="3" spans="1:7" x14ac:dyDescent="0.45">
      <c r="A3" s="2" t="s">
        <v>104</v>
      </c>
      <c r="B3" s="2" t="s">
        <v>104</v>
      </c>
      <c r="C3" s="2"/>
      <c r="D3" s="2" t="s">
        <v>105</v>
      </c>
      <c r="E3" s="2" t="s">
        <v>106</v>
      </c>
      <c r="F3" s="2" t="s">
        <v>107</v>
      </c>
      <c r="G3" s="2" t="s">
        <v>58</v>
      </c>
    </row>
    <row r="4" spans="1:7" x14ac:dyDescent="0.45">
      <c r="A4" s="2" t="s">
        <v>108</v>
      </c>
      <c r="B4" s="2" t="s">
        <v>108</v>
      </c>
      <c r="C4" s="2"/>
      <c r="D4" s="2" t="s">
        <v>109</v>
      </c>
      <c r="E4" s="2" t="s">
        <v>106</v>
      </c>
      <c r="F4" s="2" t="s">
        <v>107</v>
      </c>
      <c r="G4" s="2" t="s">
        <v>58</v>
      </c>
    </row>
  </sheetData>
  <autoFilter ref="A2:G2" xr:uid="{00000000-0009-0000-0000-000007000000}"/>
  <mergeCells count="1">
    <mergeCell ref="A1:G1"/>
  </mergeCells>
  <dataValidations count="1">
    <dataValidation type="list" allowBlank="1" sqref="F3:F10000" xr:uid="{00000000-0002-0000-0700-000000000000}">
      <formula1>"use_existing_track,create_new_track,manual_fix_needed,ignore"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pane ySplit="1" topLeftCell="A2" activePane="bottomLeft" state="frozen"/>
      <selection pane="bottomLeft" sqref="A1:I1"/>
    </sheetView>
  </sheetViews>
  <sheetFormatPr defaultRowHeight="14.25" x14ac:dyDescent="0.45"/>
  <cols>
    <col min="1" max="4" width="12" customWidth="1"/>
    <col min="5" max="5" width="15" customWidth="1"/>
    <col min="6" max="6" width="14" customWidth="1"/>
    <col min="7" max="8" width="25" customWidth="1"/>
    <col min="9" max="9" width="45" customWidth="1"/>
  </cols>
  <sheetData>
    <row r="1" spans="1:9" ht="24" customHeight="1" x14ac:dyDescent="0.55000000000000004">
      <c r="A1" s="6" t="s">
        <v>110</v>
      </c>
      <c r="B1" s="7"/>
      <c r="C1" s="7"/>
      <c r="D1" s="7"/>
      <c r="E1" s="7"/>
      <c r="F1" s="7"/>
      <c r="G1" s="7"/>
      <c r="H1" s="7"/>
      <c r="I1" s="7"/>
    </row>
    <row r="2" spans="1:9" ht="32" customHeight="1" x14ac:dyDescent="0.45">
      <c r="A2" s="5" t="s">
        <v>14</v>
      </c>
      <c r="B2" s="5" t="s">
        <v>30</v>
      </c>
      <c r="C2" s="5" t="s">
        <v>31</v>
      </c>
      <c r="D2" s="5" t="s">
        <v>43</v>
      </c>
      <c r="E2" s="5" t="s">
        <v>44</v>
      </c>
      <c r="F2" s="5" t="s">
        <v>45</v>
      </c>
      <c r="G2" s="5" t="s">
        <v>111</v>
      </c>
      <c r="H2" s="5" t="s">
        <v>112</v>
      </c>
      <c r="I2" s="5" t="s">
        <v>21</v>
      </c>
    </row>
    <row r="3" spans="1:9" x14ac:dyDescent="0.45">
      <c r="A3" s="2">
        <v>65</v>
      </c>
      <c r="B3" s="2">
        <v>56</v>
      </c>
      <c r="C3" s="2">
        <v>2013</v>
      </c>
      <c r="D3" s="2">
        <v>1</v>
      </c>
      <c r="E3" s="2">
        <v>348</v>
      </c>
      <c r="F3" s="2" t="s">
        <v>53</v>
      </c>
      <c r="G3" s="2" t="s">
        <v>54</v>
      </c>
      <c r="H3" s="2" t="s">
        <v>56</v>
      </c>
      <c r="I3" s="2" t="s">
        <v>58</v>
      </c>
    </row>
  </sheetData>
  <autoFilter ref="A2:I2" xr:uid="{00000000-0009-0000-0000-000008000000}"/>
  <mergeCells count="1">
    <mergeCell ref="A1:I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>
      <pane ySplit="1" topLeftCell="A2" activePane="bottomLeft" state="frozen"/>
      <selection pane="bottomLeft" sqref="A1:E1"/>
    </sheetView>
  </sheetViews>
  <sheetFormatPr defaultRowHeight="14.25" x14ac:dyDescent="0.45"/>
  <cols>
    <col min="1" max="1" width="35" customWidth="1"/>
    <col min="2" max="4" width="18" customWidth="1"/>
    <col min="5" max="5" width="70" customWidth="1"/>
  </cols>
  <sheetData>
    <row r="1" spans="1:5" ht="24" customHeight="1" x14ac:dyDescent="0.55000000000000004">
      <c r="A1" s="6" t="s">
        <v>113</v>
      </c>
      <c r="B1" s="7"/>
      <c r="C1" s="7"/>
      <c r="D1" s="7"/>
      <c r="E1" s="7"/>
    </row>
    <row r="2" spans="1:5" ht="32" customHeight="1" x14ac:dyDescent="0.45">
      <c r="A2" s="5" t="s">
        <v>114</v>
      </c>
      <c r="B2" s="5" t="s">
        <v>115</v>
      </c>
      <c r="C2" s="5" t="s">
        <v>116</v>
      </c>
      <c r="D2" s="5" t="s">
        <v>65</v>
      </c>
      <c r="E2" s="5" t="s">
        <v>21</v>
      </c>
    </row>
    <row r="3" spans="1:5" x14ac:dyDescent="0.45">
      <c r="A3" s="2" t="s">
        <v>117</v>
      </c>
      <c r="B3" s="2">
        <v>6</v>
      </c>
      <c r="C3" s="2"/>
      <c r="D3" s="2"/>
      <c r="E3" s="2" t="s">
        <v>118</v>
      </c>
    </row>
    <row r="4" spans="1:5" x14ac:dyDescent="0.45">
      <c r="A4" s="2" t="s">
        <v>119</v>
      </c>
      <c r="B4" s="2">
        <v>144</v>
      </c>
      <c r="C4" s="2"/>
      <c r="D4" s="2"/>
      <c r="E4" s="2" t="s">
        <v>120</v>
      </c>
    </row>
    <row r="5" spans="1:5" x14ac:dyDescent="0.45">
      <c r="A5" s="2" t="s">
        <v>121</v>
      </c>
      <c r="B5" s="2">
        <v>86</v>
      </c>
      <c r="C5" s="2"/>
      <c r="D5" s="2"/>
      <c r="E5" s="2" t="s">
        <v>122</v>
      </c>
    </row>
    <row r="6" spans="1:5" x14ac:dyDescent="0.45">
      <c r="A6" s="2" t="s">
        <v>123</v>
      </c>
      <c r="B6" s="2">
        <v>230</v>
      </c>
      <c r="C6" s="2"/>
      <c r="D6" s="2"/>
      <c r="E6" s="2" t="s">
        <v>124</v>
      </c>
    </row>
    <row r="7" spans="1:5" x14ac:dyDescent="0.45">
      <c r="A7" s="2" t="s">
        <v>125</v>
      </c>
      <c r="B7" s="2">
        <v>0</v>
      </c>
      <c r="C7" s="2"/>
      <c r="D7" s="2"/>
      <c r="E7" s="2" t="s">
        <v>126</v>
      </c>
    </row>
    <row r="8" spans="1:5" x14ac:dyDescent="0.45">
      <c r="A8" s="2" t="s">
        <v>127</v>
      </c>
      <c r="B8" s="2">
        <v>0</v>
      </c>
      <c r="C8" s="2"/>
      <c r="D8" s="2"/>
      <c r="E8" s="2" t="s">
        <v>126</v>
      </c>
    </row>
    <row r="9" spans="1:5" x14ac:dyDescent="0.45">
      <c r="A9" s="2" t="s">
        <v>128</v>
      </c>
      <c r="B9" s="2">
        <v>0</v>
      </c>
      <c r="C9" s="2"/>
      <c r="D9" s="2"/>
      <c r="E9" s="2" t="s">
        <v>126</v>
      </c>
    </row>
    <row r="10" spans="1:5" x14ac:dyDescent="0.45">
      <c r="A10" s="2" t="s">
        <v>129</v>
      </c>
      <c r="B10" s="2">
        <v>1</v>
      </c>
      <c r="C10" s="2"/>
      <c r="D10" s="2"/>
      <c r="E10" s="2" t="s">
        <v>130</v>
      </c>
    </row>
  </sheetData>
  <autoFilter ref="A2:E2" xr:uid="{00000000-0009-0000-0000-000009000000}"/>
  <mergeCells count="1">
    <mergeCell ref="A1:E1"/>
  </mergeCells>
  <dataValidations count="1">
    <dataValidation type="list" allowBlank="1" sqref="D3:D1000" xr:uid="{00000000-0002-0000-0900-000000000000}">
      <formula1>"OK,REVIEW,STOP"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>
      <pane ySplit="1" topLeftCell="A2" activePane="bottomLeft" state="frozen"/>
      <selection pane="bottomLeft" sqref="A1:E1"/>
    </sheetView>
  </sheetViews>
  <sheetFormatPr defaultRowHeight="14.25" x14ac:dyDescent="0.45"/>
  <cols>
    <col min="1" max="1" width="12" customWidth="1"/>
    <col min="2" max="4" width="28" customWidth="1"/>
    <col min="5" max="5" width="45" customWidth="1"/>
  </cols>
  <sheetData>
    <row r="1" spans="1:5" ht="24" customHeight="1" x14ac:dyDescent="0.55000000000000004">
      <c r="A1" s="6" t="s">
        <v>131</v>
      </c>
      <c r="B1" s="7"/>
      <c r="C1" s="7"/>
      <c r="D1" s="7"/>
      <c r="E1" s="7"/>
    </row>
    <row r="2" spans="1:5" ht="32" customHeight="1" x14ac:dyDescent="0.45">
      <c r="A2" s="5" t="s">
        <v>132</v>
      </c>
      <c r="B2" s="5" t="s">
        <v>133</v>
      </c>
      <c r="C2" s="5" t="s">
        <v>134</v>
      </c>
      <c r="D2" s="5" t="s">
        <v>135</v>
      </c>
      <c r="E2" s="5" t="s">
        <v>21</v>
      </c>
    </row>
  </sheetData>
  <autoFilter ref="A2:E2" xr:uid="{00000000-0009-0000-0000-00000A000000}"/>
  <mergeCells count="1">
    <mergeCell ref="A1:E1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8" customWidth="1"/>
    <col min="4" max="4" width="20" customWidth="1"/>
    <col min="5" max="5" width="12" customWidth="1"/>
    <col min="6" max="6" width="28" customWidth="1"/>
    <col min="7" max="7" width="45" customWidth="1"/>
  </cols>
  <sheetData>
    <row r="1" spans="1:7" ht="24" customHeight="1" x14ac:dyDescent="0.55000000000000004">
      <c r="A1" s="6" t="s">
        <v>136</v>
      </c>
      <c r="B1" s="7"/>
      <c r="C1" s="7"/>
      <c r="D1" s="7"/>
      <c r="E1" s="7"/>
      <c r="F1" s="7"/>
      <c r="G1" s="7"/>
    </row>
    <row r="2" spans="1:7" ht="32" customHeight="1" x14ac:dyDescent="0.45">
      <c r="A2" s="5" t="s">
        <v>132</v>
      </c>
      <c r="B2" s="5" t="s">
        <v>111</v>
      </c>
      <c r="C2" s="5" t="s">
        <v>134</v>
      </c>
      <c r="D2" s="5" t="s">
        <v>137</v>
      </c>
      <c r="E2" s="5" t="s">
        <v>138</v>
      </c>
      <c r="F2" s="5" t="s">
        <v>139</v>
      </c>
      <c r="G2" s="5" t="s">
        <v>21</v>
      </c>
    </row>
  </sheetData>
  <autoFilter ref="A2:G2" xr:uid="{00000000-0009-0000-0000-00000B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00_Series_Setup</vt:lpstr>
      <vt:lpstr>01_Season_Setup</vt:lpstr>
      <vt:lpstr>02_Races_Events</vt:lpstr>
      <vt:lpstr>03_Race_Results</vt:lpstr>
      <vt:lpstr>04_Point_Standings</vt:lpstr>
      <vt:lpstr>05_Driver_Review</vt:lpstr>
      <vt:lpstr>06_Track_Review</vt:lpstr>
      <vt:lpstr>07_Event_ID_Map</vt:lpstr>
      <vt:lpstr>08_Import_Checks</vt:lpstr>
      <vt:lpstr>99_Reference_Drivers</vt:lpstr>
      <vt:lpstr>99_Reference_Tracks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Schafer</cp:lastModifiedBy>
  <dcterms:created xsi:type="dcterms:W3CDTF">2026-05-19T01:43:28Z</dcterms:created>
  <dcterms:modified xsi:type="dcterms:W3CDTF">2026-05-19T17:05:39Z</dcterms:modified>
</cp:coreProperties>
</file>